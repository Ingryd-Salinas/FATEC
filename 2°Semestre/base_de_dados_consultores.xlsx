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2830482421025\Desktop\"/>
    </mc:Choice>
  </mc:AlternateContent>
  <xr:revisionPtr revIDLastSave="0" documentId="13_ncr:1_{9E6560C1-12F6-4DFB-8194-35DB2429E816}" xr6:coauthVersionLast="47" xr6:coauthVersionMax="47" xr10:uidLastSave="{00000000-0000-0000-0000-000000000000}"/>
  <bookViews>
    <workbookView xWindow="-120" yWindow="-120" windowWidth="29040" windowHeight="15720" xr2:uid="{CDD8362B-9596-464C-BA70-075DE4DFDCD8}"/>
  </bookViews>
  <sheets>
    <sheet name="base de dados " sheetId="2" r:id="rId1"/>
  </sheets>
  <definedNames>
    <definedName name="_xlchart.v1.0" hidden="1">'base de dados '!$C$16:$N$16</definedName>
    <definedName name="_xlchart.v1.1" hidden="1">'base de dados '!$B$13</definedName>
    <definedName name="_xlchart.v1.2" hidden="1">'base de dados '!$C$13:$N$13</definedName>
    <definedName name="_xlchart.v1.3" hidden="1">'base de dados '!$B$13</definedName>
    <definedName name="_xlchart.v1.4" hidden="1">'base de dados '!$C$13:$N$13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5" i="2" l="1"/>
  <c r="M31" i="2"/>
  <c r="M27" i="2"/>
  <c r="M23" i="2"/>
  <c r="N18" i="2"/>
  <c r="M18" i="2"/>
  <c r="L18" i="2"/>
  <c r="K18" i="2"/>
  <c r="J18" i="2"/>
  <c r="I18" i="2"/>
  <c r="H18" i="2"/>
  <c r="G18" i="2"/>
  <c r="F18" i="2"/>
  <c r="E18" i="2"/>
  <c r="D18" i="2"/>
  <c r="C18" i="2"/>
  <c r="N16" i="2"/>
  <c r="M16" i="2"/>
  <c r="L16" i="2"/>
  <c r="K16" i="2"/>
  <c r="J16" i="2"/>
  <c r="I16" i="2"/>
  <c r="H16" i="2"/>
  <c r="G16" i="2"/>
  <c r="F16" i="2"/>
  <c r="E16" i="2"/>
  <c r="D16" i="2"/>
  <c r="C16" i="2"/>
</calcChain>
</file>

<file path=xl/sharedStrings.xml><?xml version="1.0" encoding="utf-8"?>
<sst xmlns="http://schemas.openxmlformats.org/spreadsheetml/2006/main" count="36" uniqueCount="35">
  <si>
    <t>Dashboard</t>
  </si>
  <si>
    <t>RELATÓRIO CONSULTORES</t>
  </si>
  <si>
    <t>Nome</t>
  </si>
  <si>
    <t>Paulo da Silva</t>
  </si>
  <si>
    <t>Cargo</t>
  </si>
  <si>
    <t>CONSULTORES</t>
  </si>
  <si>
    <t>Área/Departamento:</t>
  </si>
  <si>
    <t>TECNOLOGIA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</si>
  <si>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</si>
  <si>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</si>
  <si>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</si>
  <si>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</si>
  <si>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</si>
  <si>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</si>
  <si>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</si>
  <si>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</si>
  <si>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</si>
  <si>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</si>
  <si>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</si>
  <si>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</si>
  <si>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Valor da Hora/Consultor</t>
  </si>
  <si>
    <t>Horas Trabalhadas</t>
  </si>
  <si>
    <t>Horas Devidas</t>
  </si>
  <si>
    <t>Horas Extras</t>
  </si>
  <si>
    <t>Banco de Horas</t>
  </si>
  <si>
    <t>Valor a Ser Pago</t>
  </si>
  <si>
    <t>Horas Extras Realizadas</t>
  </si>
  <si>
    <t>TOTAL DE HORAS TRABALHADAS</t>
  </si>
  <si>
    <t>TOTAL DE HORAS EXTRAS</t>
  </si>
  <si>
    <t>TOTAL DE HORAS DEVIDAS</t>
  </si>
  <si>
    <t>TRABALHADA</t>
  </si>
  <si>
    <t>EXTRA</t>
  </si>
  <si>
    <t>DEVIDA</t>
  </si>
  <si>
    <t>BANCO</t>
  </si>
  <si>
    <t>TOTAL DE BANCO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</si>
</sst>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Arial"/>
      <family val="2"/>
    </font>
    <font>
      <b/>
      <sz val="11"/>
      <color rgb="FFF2790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8" fillId="6" borderId="11" applyNumberForma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4" fillId="0" borderId="2" xfId="0" applyFont="1" applyBorder="1"/>
    <xf numFmtId="0" fontId="5" fillId="4" borderId="2" xfId="0" applyFont="1" applyFill="1" applyBorder="1"/>
    <xf numFmtId="0" fontId="1" fillId="5" borderId="0" xfId="0" applyFont="1" applyFill="1" applyAlignment="1">
      <alignment horizontal="center" vertical="center"/>
    </xf>
    <xf numFmtId="0" fontId="1" fillId="5" borderId="0" xfId="0" applyFont="1" applyFill="1"/>
    <xf numFmtId="164" fontId="6" fillId="4" borderId="6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10" fillId="6" borderId="12" xfId="1" applyFont="1" applyBorder="1" applyAlignment="1">
      <alignment horizontal="center" vertical="center"/>
    </xf>
    <xf numFmtId="0" fontId="11" fillId="6" borderId="11" xfId="1" applyFont="1" applyAlignment="1">
      <alignment horizontal="center" vertical="center"/>
    </xf>
    <xf numFmtId="0" fontId="12" fillId="9" borderId="12" xfId="4" applyFont="1" applyBorder="1" applyAlignment="1">
      <alignment horizontal="center" vertical="center"/>
    </xf>
    <xf numFmtId="0" fontId="12" fillId="9" borderId="13" xfId="4" applyFont="1" applyBorder="1" applyAlignment="1">
      <alignment horizontal="center" vertical="center"/>
    </xf>
    <xf numFmtId="0" fontId="13" fillId="7" borderId="14" xfId="2" applyFont="1" applyBorder="1" applyAlignment="1">
      <alignment horizontal="center" vertical="center"/>
    </xf>
    <xf numFmtId="0" fontId="13" fillId="7" borderId="12" xfId="2" applyFont="1" applyBorder="1" applyAlignment="1">
      <alignment horizontal="center" vertical="center"/>
    </xf>
    <xf numFmtId="0" fontId="14" fillId="6" borderId="11" xfId="1" applyFont="1" applyAlignment="1">
      <alignment horizontal="center" vertical="center"/>
    </xf>
    <xf numFmtId="0" fontId="15" fillId="8" borderId="12" xfId="3" applyFont="1" applyBorder="1" applyAlignment="1">
      <alignment horizontal="center" vertical="center"/>
    </xf>
    <xf numFmtId="0" fontId="16" fillId="10" borderId="12" xfId="5" applyFont="1" applyBorder="1" applyAlignment="1">
      <alignment horizontal="center" vertical="center"/>
    </xf>
    <xf numFmtId="0" fontId="17" fillId="6" borderId="11" xfId="1" applyFont="1" applyAlignment="1">
      <alignment horizontal="center" vertical="center"/>
    </xf>
  </cellXfs>
  <cellStyles count="6">
    <cellStyle name="40% - Ênfase1" xfId="2" builtinId="31"/>
    <cellStyle name="40% - Ênfase2" xfId="3" builtinId="35"/>
    <cellStyle name="40% - Ênfase4" xfId="4" builtinId="43"/>
    <cellStyle name="40% - Ênfase5" xfId="5" builtinId="47"/>
    <cellStyle name="Cálculo" xfId="1" builtinId="22"/>
    <cellStyle name="Normal" xfId="0" builtinId="0"/>
  </cellStyles>
  <dxfs count="0"/>
  <tableStyles count="0" defaultTableStyle="TableStyleMedium2" defaultPivotStyle="PivotStyleLight16"/>
  <colors>
    <mruColors>
      <color rgb="FFF27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de dados '!$B$13</c:f>
              <c:strCache>
                <c:ptCount val="1"/>
                <c:pt idx="0">
                  <c:v>Horas Extras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'base de dados '!$C$13:$N$13</c:f>
              <c:numCache>
                <c:formatCode>General</c:formatCode>
                <c:ptCount val="12"/>
                <c:pt idx="0">
                  <c:v>40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32</c:v>
                </c:pt>
                <c:pt idx="5">
                  <c:v>4</c:v>
                </c:pt>
                <c:pt idx="6">
                  <c:v>40</c:v>
                </c:pt>
                <c:pt idx="7">
                  <c:v>2</c:v>
                </c:pt>
                <c:pt idx="8">
                  <c:v>10</c:v>
                </c:pt>
                <c:pt idx="9">
                  <c:v>50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E-489F-9A05-A10D48C21C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6250864"/>
        <c:axId val="26251280"/>
      </c:barChart>
      <c:catAx>
        <c:axId val="2625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251280"/>
        <c:crosses val="autoZero"/>
        <c:auto val="1"/>
        <c:lblAlgn val="ctr"/>
        <c:lblOffset val="100"/>
        <c:noMultiLvlLbl val="0"/>
      </c:catAx>
      <c:valAx>
        <c:axId val="262512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625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'base de dados '!$C$16:$N$16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12</c:v>
                </c:pt>
                <c:pt idx="5">
                  <c:v>-16</c:v>
                </c:pt>
                <c:pt idx="6">
                  <c:v>18</c:v>
                </c:pt>
                <c:pt idx="7">
                  <c:v>-14</c:v>
                </c:pt>
                <c:pt idx="8">
                  <c:v>-10</c:v>
                </c:pt>
                <c:pt idx="9">
                  <c:v>35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D-4F30-B6A3-1C56DD184E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8078736"/>
        <c:axId val="178079152"/>
      </c:barChart>
      <c:catAx>
        <c:axId val="17807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79152"/>
        <c:crosses val="autoZero"/>
        <c:auto val="1"/>
        <c:lblAlgn val="ctr"/>
        <c:lblOffset val="100"/>
        <c:noMultiLvlLbl val="0"/>
      </c:catAx>
      <c:valAx>
        <c:axId val="1780791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807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7E9-4D63-B7C7-FD55CDDFE80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E9-4D63-B7C7-FD55CDDFE80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7E9-4D63-B7C7-FD55CDDFE802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E9-4D63-B7C7-FD55CDDFE80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7E9-4D63-B7C7-FD55CDDFE8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'base de dados '!$H$23:$H$26</c:f>
              <c:strCache>
                <c:ptCount val="4"/>
                <c:pt idx="0">
                  <c:v>TRABALHADA</c:v>
                </c:pt>
                <c:pt idx="1">
                  <c:v>EXTRA</c:v>
                </c:pt>
                <c:pt idx="2">
                  <c:v>DEVIDA</c:v>
                </c:pt>
                <c:pt idx="3">
                  <c:v>BANCO</c:v>
                </c:pt>
              </c:strCache>
            </c:strRef>
          </c:cat>
          <c:val>
            <c:numRef>
              <c:f>'base de dados '!$I$23:$I$26</c:f>
              <c:numCache>
                <c:formatCode>General</c:formatCode>
                <c:ptCount val="4"/>
                <c:pt idx="0">
                  <c:v>720</c:v>
                </c:pt>
                <c:pt idx="1">
                  <c:v>408</c:v>
                </c:pt>
                <c:pt idx="2">
                  <c:v>243</c:v>
                </c:pt>
                <c:pt idx="3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9-4D63-B7C7-FD55CDDF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7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26281</xdr:colOff>
      <xdr:row>20</xdr:row>
      <xdr:rowOff>33258</xdr:rowOff>
    </xdr:from>
    <xdr:to>
      <xdr:col>6</xdr:col>
      <xdr:colOff>683559</xdr:colOff>
      <xdr:row>29</xdr:row>
      <xdr:rowOff>145678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B6E2AB-DF00-484F-A97A-7B5A636CC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41412</xdr:colOff>
      <xdr:row>33</xdr:row>
      <xdr:rowOff>112060</xdr:rowOff>
    </xdr:from>
    <xdr:to>
      <xdr:col>6</xdr:col>
      <xdr:colOff>683559</xdr:colOff>
      <xdr:row>43</xdr:row>
      <xdr:rowOff>134471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882A46-3764-4300-8E90-C8D52D6D1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792695</xdr:colOff>
      <xdr:row>20</xdr:row>
      <xdr:rowOff>70548</xdr:rowOff>
    </xdr:from>
    <xdr:to>
      <xdr:col>12</xdr:col>
      <xdr:colOff>4873</xdr:colOff>
      <xdr:row>36</xdr:row>
      <xdr:rowOff>83800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35CD97-D207-46C5-9488-9FF5FFA1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C01F-3231-4867-A38C-156A91E29E9A}">
  <dimension ref="B1:N36"/>
  <sheetViews>
    <sheetView showGridLines="0" tabSelected="1" zoomScale="85" zoomScaleNormal="85" workbookViewId="0">
      <selection activeCell="G43" sqref="G43"/>
    </sheetView>
  </sheetViews>
  <sheetFormatPr defaultRowHeight="15" x14ac:dyDescent="0.25"/>
  <cols>
    <col min="2" max="2" width="15" customWidth="1"/>
    <col min="3" max="3" width="19.5703125" customWidth="1"/>
    <col min="4" max="4" width="28.42578125" customWidth="1"/>
    <col min="5" max="5" width="20" customWidth="1"/>
    <col min="6" max="6" width="16" customWidth="1"/>
    <col min="7" max="7" width="17.7109375" customWidth="1"/>
    <col min="8" max="9" width="12.7109375" bestFit="1" customWidth="1"/>
    <col min="10" max="10" width="15" customWidth="1"/>
    <col min="11" max="11" width="12.7109375" bestFit="1" customWidth="1"/>
    <col min="12" max="12" width="9.5703125" customWidth="1"/>
    <col min="13" max="13" width="13.28515625" customWidth="1"/>
    <col min="14" max="14" width="20" customWidth="1"/>
  </cols>
  <sheetData>
    <row r="1" spans="2:14" ht="6" customHeight="1" x14ac:dyDescent="0.25"/>
    <row r="2" spans="2:14" ht="20.45" customHeight="1" x14ac:dyDescent="0.25">
      <c r="B2" s="24" t="s">
        <v>0</v>
      </c>
      <c r="C2" s="24"/>
      <c r="D2" s="24"/>
      <c r="E2" s="24"/>
      <c r="F2" s="25" t="s">
        <v>1</v>
      </c>
      <c r="G2" s="25"/>
      <c r="H2" s="25"/>
      <c r="I2" s="25"/>
      <c r="J2" s="25"/>
      <c r="K2" s="25"/>
      <c r="L2" s="25"/>
      <c r="M2" s="25"/>
      <c r="N2" s="25"/>
    </row>
    <row r="3" spans="2:14" x14ac:dyDescent="0.25">
      <c r="C3" s="1"/>
      <c r="D3" s="1"/>
      <c r="E3" s="1"/>
    </row>
    <row r="4" spans="2:14" ht="18.75" x14ac:dyDescent="0.3">
      <c r="B4" s="2" t="s">
        <v>2</v>
      </c>
      <c r="C4" s="26" t="s">
        <v>3</v>
      </c>
      <c r="D4" s="27"/>
      <c r="E4" s="28"/>
      <c r="G4" s="2" t="s">
        <v>4</v>
      </c>
      <c r="H4" s="26" t="s">
        <v>5</v>
      </c>
      <c r="I4" s="27"/>
      <c r="J4" s="28"/>
      <c r="L4" s="29" t="s">
        <v>6</v>
      </c>
      <c r="M4" s="30"/>
      <c r="N4" s="3" t="s">
        <v>7</v>
      </c>
    </row>
    <row r="5" spans="2:14" ht="10.15" customHeight="1" x14ac:dyDescent="0.25"/>
    <row r="6" spans="2:14" ht="3.6" customHeight="1" x14ac:dyDescent="0.25"/>
    <row r="7" spans="2:14" ht="4.1500000000000004" customHeight="1" x14ac:dyDescent="0.25"/>
    <row r="8" spans="2:14" ht="5.45" customHeight="1" x14ac:dyDescent="0.25"/>
    <row r="9" spans="2:14" x14ac:dyDescent="0.25"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</row>
    <row r="10" spans="2:14" ht="21" customHeight="1" x14ac:dyDescent="0.25">
      <c r="B10" s="5" t="s">
        <v>20</v>
      </c>
      <c r="C10" s="6">
        <v>80</v>
      </c>
      <c r="D10" s="6">
        <v>80</v>
      </c>
      <c r="E10" s="7">
        <v>80</v>
      </c>
      <c r="F10" s="8">
        <v>80</v>
      </c>
      <c r="G10" s="8">
        <v>80</v>
      </c>
      <c r="H10" s="9">
        <v>80</v>
      </c>
      <c r="I10" s="8">
        <v>80</v>
      </c>
      <c r="J10" s="6">
        <v>80</v>
      </c>
      <c r="K10" s="8">
        <v>80</v>
      </c>
      <c r="L10" s="8">
        <v>80</v>
      </c>
      <c r="M10" s="8">
        <v>80</v>
      </c>
      <c r="N10" s="6">
        <v>80</v>
      </c>
    </row>
    <row r="11" spans="2:14" ht="21.6" customHeight="1" x14ac:dyDescent="0.25">
      <c r="B11" s="5" t="s">
        <v>21</v>
      </c>
      <c r="C11" s="10">
        <v>60</v>
      </c>
      <c r="D11" s="11">
        <v>60</v>
      </c>
      <c r="E11" s="12">
        <v>60</v>
      </c>
      <c r="F11" s="13">
        <v>60</v>
      </c>
      <c r="G11" s="11">
        <v>60</v>
      </c>
      <c r="H11" s="14">
        <v>60</v>
      </c>
      <c r="I11" s="11">
        <v>60</v>
      </c>
      <c r="J11" s="10">
        <v>60</v>
      </c>
      <c r="K11" s="11">
        <v>60</v>
      </c>
      <c r="L11" s="12">
        <v>60</v>
      </c>
      <c r="M11" s="12">
        <v>60</v>
      </c>
      <c r="N11" s="13">
        <v>60</v>
      </c>
    </row>
    <row r="12" spans="2:14" ht="21" customHeight="1" x14ac:dyDescent="0.25">
      <c r="B12" s="5" t="s">
        <v>22</v>
      </c>
      <c r="C12" s="10">
        <v>20</v>
      </c>
      <c r="D12" s="11">
        <v>30</v>
      </c>
      <c r="E12" s="11">
        <v>20</v>
      </c>
      <c r="F12" s="10">
        <v>20</v>
      </c>
      <c r="G12" s="11">
        <v>20</v>
      </c>
      <c r="H12" s="14">
        <v>20</v>
      </c>
      <c r="I12" s="11">
        <v>22</v>
      </c>
      <c r="J12" s="12">
        <v>16</v>
      </c>
      <c r="K12" s="11">
        <v>20</v>
      </c>
      <c r="L12" s="10">
        <v>15</v>
      </c>
      <c r="M12" s="11">
        <v>20</v>
      </c>
      <c r="N12" s="10">
        <v>20</v>
      </c>
    </row>
    <row r="13" spans="2:14" ht="21" customHeight="1" x14ac:dyDescent="0.25">
      <c r="B13" s="5" t="s">
        <v>23</v>
      </c>
      <c r="C13" s="13">
        <v>40</v>
      </c>
      <c r="D13" s="12">
        <v>60</v>
      </c>
      <c r="E13" s="12">
        <v>50</v>
      </c>
      <c r="F13" s="13">
        <v>40</v>
      </c>
      <c r="G13" s="12">
        <v>32</v>
      </c>
      <c r="H13" s="15">
        <v>4</v>
      </c>
      <c r="I13" s="12">
        <v>40</v>
      </c>
      <c r="J13" s="11">
        <v>2</v>
      </c>
      <c r="K13" s="11">
        <v>10</v>
      </c>
      <c r="L13" s="10">
        <v>50</v>
      </c>
      <c r="M13" s="11">
        <v>40</v>
      </c>
      <c r="N13" s="10">
        <v>40</v>
      </c>
    </row>
    <row r="14" spans="2:14" ht="6" customHeight="1" x14ac:dyDescent="0.25"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2:14" ht="7.9" customHeight="1" x14ac:dyDescent="0.25"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2:14" ht="18" customHeight="1" x14ac:dyDescent="0.25">
      <c r="B16" s="5" t="s">
        <v>24</v>
      </c>
      <c r="C16" s="18">
        <f>SUM(C13-C12)</f>
        <v>20</v>
      </c>
      <c r="D16" s="13">
        <f t="shared" ref="D16:N16" si="0">SUM(D13-D12)</f>
        <v>30</v>
      </c>
      <c r="E16" s="13">
        <f t="shared" si="0"/>
        <v>30</v>
      </c>
      <c r="F16" s="13">
        <f t="shared" si="0"/>
        <v>20</v>
      </c>
      <c r="G16" s="13">
        <f t="shared" si="0"/>
        <v>12</v>
      </c>
      <c r="H16" s="13">
        <f t="shared" si="0"/>
        <v>-16</v>
      </c>
      <c r="I16" s="13">
        <f t="shared" si="0"/>
        <v>18</v>
      </c>
      <c r="J16" s="10">
        <f t="shared" si="0"/>
        <v>-14</v>
      </c>
      <c r="K16" s="10">
        <f t="shared" si="0"/>
        <v>-10</v>
      </c>
      <c r="L16" s="12">
        <f t="shared" si="0"/>
        <v>35</v>
      </c>
      <c r="M16" s="12">
        <f t="shared" si="0"/>
        <v>20</v>
      </c>
      <c r="N16" s="12">
        <f t="shared" si="0"/>
        <v>20</v>
      </c>
    </row>
    <row r="17" spans="2:14" ht="12" customHeight="1" x14ac:dyDescent="0.25"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8" customHeight="1" x14ac:dyDescent="0.25">
      <c r="B18" s="5" t="s">
        <v>25</v>
      </c>
      <c r="C18" s="20">
        <f t="shared" ref="C18:N18" si="1">(C11*C10)</f>
        <v>4800</v>
      </c>
      <c r="D18" s="21">
        <f t="shared" si="1"/>
        <v>4800</v>
      </c>
      <c r="E18" s="22">
        <f t="shared" si="1"/>
        <v>4800</v>
      </c>
      <c r="F18" s="22">
        <f t="shared" si="1"/>
        <v>4800</v>
      </c>
      <c r="G18" s="21">
        <f t="shared" si="1"/>
        <v>4800</v>
      </c>
      <c r="H18" s="22">
        <f t="shared" si="1"/>
        <v>4800</v>
      </c>
      <c r="I18" s="22">
        <f t="shared" si="1"/>
        <v>4800</v>
      </c>
      <c r="J18" s="22">
        <f t="shared" si="1"/>
        <v>4800</v>
      </c>
      <c r="K18" s="22">
        <f t="shared" si="1"/>
        <v>4800</v>
      </c>
      <c r="L18" s="22">
        <f t="shared" si="1"/>
        <v>4800</v>
      </c>
      <c r="M18" s="22">
        <f t="shared" si="1"/>
        <v>4800</v>
      </c>
      <c r="N18" s="23">
        <f t="shared" si="1"/>
        <v>4800</v>
      </c>
    </row>
    <row r="20" spans="2:14" ht="19.899999999999999" customHeight="1" x14ac:dyDescent="0.25">
      <c r="B20" s="31"/>
      <c r="D20" s="32" t="s">
        <v>26</v>
      </c>
      <c r="G20" s="32"/>
    </row>
    <row r="21" spans="2:14" x14ac:dyDescent="0.25">
      <c r="M21" s="34" t="s">
        <v>27</v>
      </c>
      <c r="N21" s="34"/>
    </row>
    <row r="22" spans="2:14" x14ac:dyDescent="0.25">
      <c r="M22" s="34"/>
      <c r="N22" s="34"/>
    </row>
    <row r="23" spans="2:14" x14ac:dyDescent="0.25">
      <c r="H23" t="s">
        <v>30</v>
      </c>
      <c r="I23">
        <v>720</v>
      </c>
      <c r="M23" s="35">
        <f>SUM(C11:N11)</f>
        <v>720</v>
      </c>
      <c r="N23" s="35"/>
    </row>
    <row r="24" spans="2:14" x14ac:dyDescent="0.25">
      <c r="H24" t="s">
        <v>31</v>
      </c>
      <c r="I24">
        <v>408</v>
      </c>
      <c r="M24" s="36"/>
      <c r="N24" s="36"/>
    </row>
    <row r="25" spans="2:14" x14ac:dyDescent="0.25">
      <c r="H25" t="s">
        <v>32</v>
      </c>
      <c r="I25">
        <v>243</v>
      </c>
      <c r="M25" s="33" t="s">
        <v>28</v>
      </c>
      <c r="N25" s="33"/>
    </row>
    <row r="26" spans="2:14" x14ac:dyDescent="0.25">
      <c r="H26" t="s">
        <v>33</v>
      </c>
      <c r="I26">
        <v>165</v>
      </c>
      <c r="M26" s="33"/>
      <c r="N26" s="33"/>
    </row>
    <row r="27" spans="2:14" x14ac:dyDescent="0.25">
      <c r="M27" s="37">
        <f>SUM(C13:N13)</f>
        <v>408</v>
      </c>
      <c r="N27" s="37"/>
    </row>
    <row r="28" spans="2:14" x14ac:dyDescent="0.25">
      <c r="M28" s="38"/>
      <c r="N28" s="38"/>
    </row>
    <row r="29" spans="2:14" x14ac:dyDescent="0.25">
      <c r="M29" s="42" t="s">
        <v>29</v>
      </c>
      <c r="N29" s="42"/>
    </row>
    <row r="30" spans="2:14" x14ac:dyDescent="0.25">
      <c r="M30" s="42"/>
      <c r="N30" s="42"/>
    </row>
    <row r="31" spans="2:14" x14ac:dyDescent="0.25">
      <c r="M31" s="41">
        <f>SUM(C12:N12)</f>
        <v>243</v>
      </c>
      <c r="N31" s="41"/>
    </row>
    <row r="32" spans="2:14" x14ac:dyDescent="0.25">
      <c r="M32" s="41"/>
      <c r="N32" s="41"/>
    </row>
    <row r="33" spans="4:14" x14ac:dyDescent="0.25">
      <c r="D33" s="32" t="s">
        <v>24</v>
      </c>
      <c r="M33" s="39" t="s">
        <v>34</v>
      </c>
      <c r="N33" s="39"/>
    </row>
    <row r="34" spans="4:14" x14ac:dyDescent="0.25">
      <c r="M34" s="39"/>
      <c r="N34" s="39"/>
    </row>
    <row r="35" spans="4:14" x14ac:dyDescent="0.25">
      <c r="M35" s="40">
        <f>SUM(C16:N16)</f>
        <v>165</v>
      </c>
      <c r="N35" s="40"/>
    </row>
    <row r="36" spans="4:14" x14ac:dyDescent="0.25">
      <c r="M36" s="40"/>
      <c r="N36" s="40"/>
    </row>
  </sheetData>
  <mergeCells count="13">
    <mergeCell ref="M29:N30"/>
    <mergeCell ref="M31:N32"/>
    <mergeCell ref="M33:N34"/>
    <mergeCell ref="M35:N36"/>
    <mergeCell ref="M21:N22"/>
    <mergeCell ref="M23:N24"/>
    <mergeCell ref="M25:N26"/>
    <mergeCell ref="M27:N28"/>
    <mergeCell ref="B2:E2"/>
    <mergeCell ref="F2:N2"/>
    <mergeCell ref="C4:E4"/>
    <mergeCell ref="H4:J4"/>
    <mergeCell ref="L4:M4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7008164333CE47B7554A23BF4CE40A" ma:contentTypeVersion="8" ma:contentTypeDescription="Crie um novo documento." ma:contentTypeScope="" ma:versionID="8af8680e275c63bdd9a31399156135a5">
  <xsd:schema xmlns:xsd="http://www.w3.org/2001/XMLSchema" xmlns:xs="http://www.w3.org/2001/XMLSchema" xmlns:p="http://schemas.microsoft.com/office/2006/metadata/properties" xmlns:ns2="0dd540f2-19ea-4199-a9ce-e531162f98d7" targetNamespace="http://schemas.microsoft.com/office/2006/metadata/properties" ma:root="true" ma:fieldsID="d3af696242b0d5d5e6243cda171386d7" ns2:_="">
    <xsd:import namespace="0dd540f2-19ea-4199-a9ce-e531162f9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540f2-19ea-4199-a9ce-e531162f9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D0E748-42C6-44FF-9088-645AF05AB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6E4833-B5BE-4B0F-80C4-B518CCCBB7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F4EFC9-2EEF-4BEF-ADA2-D69CD6D07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540f2-19ea-4199-a9ce-e531162f9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2830482421025</cp:lastModifiedBy>
  <cp:revision/>
  <dcterms:created xsi:type="dcterms:W3CDTF">2025-05-20T11:02:17Z</dcterms:created>
  <dcterms:modified xsi:type="dcterms:W3CDTF">2025-05-20T14:08:51Z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0x010100B37008164333CE47B7554A23BF4CE40A</vt:lpwstr>
  </property>
</Properties>
</file>