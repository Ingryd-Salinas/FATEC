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Organizacional Diversos\AULAS FATEC\JAVA - SANTANA DE PARNAIBA\"/>
    </mc:Choice>
  </mc:AlternateContent>
  <xr:revisionPtr revIDLastSave="0" documentId="13_ncr:1_{23B5406D-3FA8-4D60-982A-DE7C16D3E652}" xr6:coauthVersionLast="47" xr6:coauthVersionMax="47" xr10:uidLastSave="{00000000-0000-0000-0000-000000000000}"/>
  <bookViews>
    <workbookView xWindow="-120" yWindow="-120" windowWidth="29040" windowHeight="15720" xr2:uid="{25D6D71C-15DB-466F-92AD-0EA4533892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H8" i="1" s="1"/>
  <c r="I8" i="1" s="1"/>
  <c r="H4" i="1"/>
  <c r="I4" i="1" s="1"/>
  <c r="H5" i="1"/>
  <c r="I5" i="1" s="1"/>
  <c r="H6" i="1"/>
  <c r="I6" i="1" s="1"/>
  <c r="H7" i="1"/>
  <c r="I7" i="1" s="1"/>
  <c r="E7" i="1"/>
  <c r="E6" i="1"/>
  <c r="E5" i="1"/>
  <c r="E4" i="1"/>
  <c r="E8" i="1" l="1"/>
  <c r="D12" i="1"/>
</calcChain>
</file>

<file path=xl/sharedStrings.xml><?xml version="1.0" encoding="utf-8"?>
<sst xmlns="http://schemas.openxmlformats.org/spreadsheetml/2006/main" count="10" uniqueCount="10">
  <si>
    <t>Base de Cálculo</t>
  </si>
  <si>
    <t>Inicio</t>
  </si>
  <si>
    <t>Fim</t>
  </si>
  <si>
    <t>Aliquota</t>
  </si>
  <si>
    <t>Diferença</t>
  </si>
  <si>
    <t>Salário</t>
  </si>
  <si>
    <t>Salário dentro da Faixa</t>
  </si>
  <si>
    <t>IRPF Desta Faixa</t>
  </si>
  <si>
    <t>IRPF</t>
  </si>
  <si>
    <t>Tabua de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</si>
</sst>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DA54-9128-4C3A-9A8D-8CC1172E1969}">
  <dimension ref="C2:I12"/>
  <sheetViews>
    <sheetView tabSelected="1" workbookViewId="0">
      <selection activeCell="H15" sqref="H15"/>
    </sheetView>
  </sheetViews>
  <sheetFormatPr defaultRowHeight="15" x14ac:dyDescent="0.25"/>
  <cols>
    <col min="3" max="3" width="18.7109375" customWidth="1"/>
    <col min="4" max="5" width="15" customWidth="1"/>
    <col min="6" max="6" width="14.42578125" customWidth="1"/>
    <col min="8" max="8" width="27.28515625" customWidth="1"/>
    <col min="9" max="9" width="25.28515625" customWidth="1"/>
  </cols>
  <sheetData>
    <row r="2" spans="3:9" ht="18.75" x14ac:dyDescent="0.25">
      <c r="C2" s="3" t="s">
        <v>0</v>
      </c>
      <c r="D2" s="3"/>
      <c r="E2" s="3"/>
      <c r="F2" s="3"/>
      <c r="H2" s="6" t="s">
        <v>9</v>
      </c>
      <c r="I2" s="6"/>
    </row>
    <row r="3" spans="3:9" x14ac:dyDescent="0.25">
      <c r="C3" s="4" t="s">
        <v>1</v>
      </c>
      <c r="D3" s="4" t="s">
        <v>2</v>
      </c>
      <c r="E3" s="4" t="s">
        <v>4</v>
      </c>
      <c r="F3" s="4" t="s">
        <v>3</v>
      </c>
      <c r="H3" s="7" t="s">
        <v>6</v>
      </c>
      <c r="I3" s="7" t="s">
        <v>7</v>
      </c>
    </row>
    <row r="4" spans="3:9" x14ac:dyDescent="0.25">
      <c r="C4" s="5">
        <v>0</v>
      </c>
      <c r="D4" s="5">
        <v>2428.8000000000002</v>
      </c>
      <c r="E4" s="5">
        <f>D4-C4</f>
        <v>2428.8000000000002</v>
      </c>
      <c r="F4" s="5">
        <v>0</v>
      </c>
      <c r="H4" s="5">
        <f t="shared" ref="H4:H6" si="0">MAX(IF($D$11&gt;D4,D4-C4,$D$11-C4),0)</f>
        <v>2428.8000000000002</v>
      </c>
      <c r="I4" s="5">
        <f>H4*F4</f>
        <v>0</v>
      </c>
    </row>
    <row r="5" spans="3:9" x14ac:dyDescent="0.25">
      <c r="C5" s="5">
        <v>2428.81</v>
      </c>
      <c r="D5" s="5">
        <v>2826.65</v>
      </c>
      <c r="E5" s="5">
        <f>D5-C5</f>
        <v>397.84000000000015</v>
      </c>
      <c r="F5" s="5">
        <v>7.4999999999999997E-2</v>
      </c>
      <c r="H5" s="5">
        <f t="shared" si="0"/>
        <v>397.84000000000015</v>
      </c>
      <c r="I5" s="5">
        <f>H5*F5</f>
        <v>29.838000000000008</v>
      </c>
    </row>
    <row r="6" spans="3:9" x14ac:dyDescent="0.25">
      <c r="C6" s="5">
        <v>2826.66</v>
      </c>
      <c r="D6" s="5">
        <v>3751.05</v>
      </c>
      <c r="E6" s="5">
        <f>D6-C6</f>
        <v>924.39000000000033</v>
      </c>
      <c r="F6" s="5">
        <v>0.15</v>
      </c>
      <c r="H6" s="5">
        <f t="shared" si="0"/>
        <v>924.39000000000033</v>
      </c>
      <c r="I6" s="5">
        <f>H6*F6</f>
        <v>138.65850000000003</v>
      </c>
    </row>
    <row r="7" spans="3:9" x14ac:dyDescent="0.25">
      <c r="C7" s="5">
        <v>3751.06</v>
      </c>
      <c r="D7" s="5">
        <v>4664.68</v>
      </c>
      <c r="E7" s="5">
        <f>D7-C7</f>
        <v>913.62000000000035</v>
      </c>
      <c r="F7" s="5">
        <v>0.22500000000000001</v>
      </c>
      <c r="H7" s="5">
        <f>MAX(IF($D$11&gt;D7,D7-C7,$D$11-C7),0)</f>
        <v>913.62000000000035</v>
      </c>
      <c r="I7" s="5">
        <f>H7*F7</f>
        <v>205.56450000000009</v>
      </c>
    </row>
    <row r="8" spans="3:9" x14ac:dyDescent="0.25">
      <c r="C8" s="5">
        <v>4664.6899999999996</v>
      </c>
      <c r="D8" s="5">
        <f>D11</f>
        <v>6000</v>
      </c>
      <c r="E8" s="5">
        <f>D8-C8</f>
        <v>1335.3100000000004</v>
      </c>
      <c r="F8" s="5">
        <v>0.27500000000000002</v>
      </c>
      <c r="H8" s="5">
        <f>MAX(IF($D$11&gt;D8,D8-C8,$D$11-C8),0)</f>
        <v>1335.3100000000004</v>
      </c>
      <c r="I8" s="5">
        <f>H8*F8</f>
        <v>367.21025000000014</v>
      </c>
    </row>
    <row r="11" spans="3:9" x14ac:dyDescent="0.25">
      <c r="C11" s="2" t="s">
        <v>5</v>
      </c>
      <c r="D11" s="1">
        <v>6000</v>
      </c>
    </row>
    <row r="12" spans="3:9" x14ac:dyDescent="0.25">
      <c r="C12" s="2" t="s">
        <v>8</v>
      </c>
      <c r="D12" s="1">
        <f>SUM(I4:I8)</f>
        <v>741.27125000000024</v>
      </c>
    </row>
  </sheetData>
  <mergeCells count="2">
    <mergeCell ref="C2:F2"/>
    <mergeCell ref="H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Andre Braga de Oliveira</dc:creator>
  <cp:lastModifiedBy>Pedro Andre Braga de Oliveira</cp:lastModifiedBy>
  <dcterms:created xsi:type="dcterms:W3CDTF">2026-02-25T18:50:28Z</dcterms:created>
  <dcterms:modified xsi:type="dcterms:W3CDTF">2026-02-25T19:06:10Z</dcterms:modified>
</cp:coreProperties>
</file>